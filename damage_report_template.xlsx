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<sst xmlns="http://schemas.openxmlformats.org/spreadsheetml/2006/main" count="32" uniqueCount="32">
  <si>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Ежедневный отчёт по повреждениям кабельной сети</t>
  </si>
  <si>
    <t xml:space="preserve">Дата отчёта:</t>
  </si>
  <si>
    <t xml:space="preserve">Составил:</t>
  </si>
  <si>
    <t xml:space="preserve">Легенда: жёлтым выделены ячейки для заполнения. Строка 6 — пример заполнения (можно удалить).</t>
  </si>
  <si>
    <t xml:space="preserve">№ п/п</t>
  </si>
  <si>
    <t xml:space="preserve">Дата</t>
  </si>
  <si>
    <t xml:space="preserve">Время обнаружения</t>
  </si>
  <si>
    <t xml:space="preserve">Населенный пункт</t>
  </si>
  <si>
    <t xml:space="preserve">Вид кабеля</t>
  </si>
  <si>
    <t xml:space="preserve">Тип повреждения</t>
  </si>
  <si>
    <t xml:space="preserve">Описание / место повреждения</t>
  </si>
  <si>
    <t xml:space="preserve">Кол-во затронутых абонентов</t>
  </si>
  <si>
    <t xml:space="preserve">Влияние на сервисы</t>
  </si>
  <si>
    <t xml:space="preserve">Статус</t>
  </si>
  <si>
    <t xml:space="preserve">Время устранения</t>
  </si>
  <si>
    <t xml:space="preserve">Ответственный</t>
  </si>
  <si>
    <t xml:space="preserve">Примечание</t>
  </si>
  <si>
    <t xml:space="preserve">17.09.2026</t>
  </si>
  <si>
    <t xml:space="preserve">08:45</t>
  </si>
  <si>
    <t xml:space="preserve">г. Усть-Каменогорск</t>
  </si>
  <si>
    <t xml:space="preserve">Оптический</t>
  </si>
  <si>
    <t xml:space="preserve">Линейное</t>
  </si>
  <si>
    <t xml:space="preserve">Обрыв ОК на участке ул. Ленина - ул. Кирова (повреждение опоры)</t>
  </si>
  <si>
    <t xml:space="preserve">Отсутствие интернета и IPTV, голосовая связь работает</t>
  </si>
  <si>
    <t xml:space="preserve">Устранено</t>
  </si>
  <si>
    <t xml:space="preserve">12:30</t>
  </si>
  <si>
    <t xml:space="preserve">Иванов И.И.</t>
  </si>
  <si>
    <t xml:space="preserve">Повреждение из-за земляных работ сторонней организации</t>
  </si>
  <si>
    <t xml:space="preserve">ИТОГО повреждений:</t>
  </si>
  <si>
    <t xml:space="preserve">в т.ч. оптический / медный:</t>
  </si>
  <si>
    <t xml:space="preserve">Всего затронуто абонентов:</t>
  </si>
  <si>
    <t xml:space="preserve">в т.ч. линейное / станционное: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</si>
</sst>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3"/>
      <c r="E2" s="3"/>
      <c r="F2" s="3"/>
      <c r="G2" s="2" t="s">
        <v>2</v>
      </c>
      <c r="H2" s="2"/>
      <c r="I2" s="4"/>
      <c r="J2" s="4"/>
      <c r="K2" s="4"/>
    </row>
    <row r="3" customFormat="false" ht="15" hidden="false" customHeight="false" outlineLevel="0" collapsed="false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customFormat="false" ht="33.7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</row>
    <row r="6" customFormat="false" ht="35.05" hidden="false" customHeight="false" outlineLevel="0" collapsed="false">
      <c r="A6" s="7" t="n">
        <v>1</v>
      </c>
      <c r="B6" s="8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22</v>
      </c>
      <c r="H6" s="7" t="n">
        <v>124</v>
      </c>
      <c r="I6" s="7" t="s">
        <v>23</v>
      </c>
      <c r="J6" s="7" t="s">
        <v>24</v>
      </c>
      <c r="K6" s="7" t="s">
        <v>25</v>
      </c>
      <c r="L6" s="7" t="s">
        <v>26</v>
      </c>
      <c r="M6" s="7" t="s">
        <v>27</v>
      </c>
    </row>
    <row r="7" customFormat="false" ht="15" hidden="false" customHeight="false" outlineLevel="0" collapsed="false">
      <c r="A7" s="9" t="str">
        <f aca="false">IF(D7="","",ROW()-6)</f>
        <v/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customFormat="false" ht="15" hidden="false" customHeight="false" outlineLevel="0" collapsed="false">
      <c r="A8" s="9" t="str">
        <f aca="false">IF(D8="","",ROW()-6)</f>
        <v/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customFormat="false" ht="15" hidden="false" customHeight="false" outlineLevel="0" collapsed="false">
      <c r="A9" s="9" t="str">
        <f aca="false">IF(D9="","",ROW()-6)</f>
        <v/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5" hidden="false" customHeight="false" outlineLevel="0" collapsed="false">
      <c r="A10" s="9" t="str">
        <f aca="false">IF(D10="","",ROW()-6)</f>
        <v/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customFormat="false" ht="15" hidden="false" customHeight="false" outlineLevel="0" collapsed="false">
      <c r="A11" s="9" t="str">
        <f aca="false">IF(D11="","",ROW()-6)</f>
        <v/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Format="false" ht="15" hidden="false" customHeight="false" outlineLevel="0" collapsed="false">
      <c r="A12" s="9" t="str">
        <f aca="false">IF(D12="","",ROW()-6)</f>
        <v/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9" t="str">
        <f aca="false">IF(D13="","",ROW()-6)</f>
        <v/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A14" s="9" t="str">
        <f aca="false">IF(D14="","",ROW()-6)</f>
        <v/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15" hidden="false" customHeight="false" outlineLevel="0" collapsed="false">
      <c r="A15" s="9" t="str">
        <f aca="false">IF(D15="","",ROW()-6)</f>
        <v/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customFormat="false" ht="15" hidden="false" customHeight="false" outlineLevel="0" collapsed="false">
      <c r="A16" s="9" t="str">
        <f aca="false">IF(D16="","",ROW()-6)</f>
        <v/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15" hidden="false" customHeight="false" outlineLevel="0" collapsed="false">
      <c r="A17" s="9" t="str">
        <f aca="false">IF(D17="","",ROW()-6)</f>
        <v/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5" hidden="false" customHeight="false" outlineLevel="0" collapsed="false">
      <c r="A18" s="9" t="str">
        <f aca="false">IF(D18="","",ROW()-6)</f>
        <v/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9" t="str">
        <f aca="false">IF(D19="","",ROW()-6)</f>
        <v/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9" t="str">
        <f aca="false">IF(D20="","",ROW()-6)</f>
        <v/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15" hidden="false" customHeight="false" outlineLevel="0" collapsed="false">
      <c r="A21" s="9" t="str">
        <f aca="false">IF(D21="","",ROW()-6)</f>
        <v/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5" hidden="false" customHeight="false" outlineLevel="0" collapsed="false">
      <c r="A22" s="9" t="str">
        <f aca="false">IF(D22="","",ROW()-6)</f>
        <v/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15" hidden="false" customHeight="false" outlineLevel="0" collapsed="false">
      <c r="A23" s="9" t="str">
        <f aca="false">IF(D23="","",ROW()-6)</f>
        <v/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Format="false" ht="15" hidden="false" customHeight="false" outlineLevel="0" collapsed="false">
      <c r="A24" s="9" t="str">
        <f aca="false">IF(D24="","",ROW()-6)</f>
        <v/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customFormat="false" ht="15" hidden="false" customHeight="false" outlineLevel="0" collapsed="false">
      <c r="A25" s="9" t="str">
        <f aca="false">IF(D25="","",ROW()-6)</f>
        <v/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Format="false" ht="15" hidden="false" customHeight="false" outlineLevel="0" collapsed="false">
      <c r="A26" s="9" t="str">
        <f aca="false">IF(D26="","",ROW()-6)</f>
        <v/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8" customFormat="false" ht="15" hidden="false" customHeight="false" outlineLevel="0" collapsed="false">
      <c r="A28" s="2" t="s">
        <v>28</v>
      </c>
      <c r="B28" s="2"/>
      <c r="C28" s="2"/>
      <c r="D28" s="11" t="n">
        <f aca="false">COUNTA(D7:D26)</f>
        <v>0</v>
      </c>
      <c r="E28" s="2" t="s">
        <v>29</v>
      </c>
      <c r="F28" s="2"/>
      <c r="G28" s="2"/>
      <c r="H28" s="12" t="str">
        <f aca="false">COUNTIF(E7:E26,"Оптический")&amp;" / "&amp;COUNTIF(E7:E26,"Медный")</f>
        <v>0 / 0</v>
      </c>
      <c r="I28" s="2" t="s">
        <v>30</v>
      </c>
      <c r="J28" s="2"/>
      <c r="K28" s="11" t="n">
        <f aca="false">SUM(H7:H26)</f>
        <v>0</v>
      </c>
    </row>
    <row r="29" customFormat="false" ht="15" hidden="false" customHeight="false" outlineLevel="0" collapsed="false">
      <c r="E29" s="2" t="s">
        <v>31</v>
      </c>
      <c r="F29" s="2"/>
      <c r="G29" s="2"/>
      <c r="H29" s="12" t="str">
        <f aca="false">COUNTIF(F7:F26,"Линейное")&amp;" / "&amp;COUNTIF(F7:F26,"Станционное")</f>
        <v>0 / 0</v>
      </c>
    </row>
  </sheetData>
  <mergeCells count="10">
    <mergeCell ref="A1:M1"/>
    <mergeCell ref="A2:C2"/>
    <mergeCell ref="D2:F2"/>
    <mergeCell ref="G2:H2"/>
    <mergeCell ref="I2:K2"/>
    <mergeCell ref="A3:M3"/>
    <mergeCell ref="A28:C28"/>
    <mergeCell ref="E28:G28"/>
    <mergeCell ref="I28:J28"/>
    <mergeCell ref="E29:G29"/>
  </mergeCells>
  <dataValidations count="3">
    <dataValidation allowBlank="true" errorStyle="stop" operator="between" showDropDown="false" showErrorMessage="false" showInputMessage="false" sqref="E6:E26" type="list">
      <formula1>"Оптический,Медный"</formula1>
      <formula2>0</formula2>
    </dataValidation>
    <dataValidation allowBlank="true" errorStyle="stop" operator="between" showDropDown="false" showErrorMessage="false" showInputMessage="false" sqref="F6:F26" type="list">
      <formula1>"Линейное,Станционное"</formula1>
      <formula2>0</formula2>
    </dataValidation>
    <dataValidation allowBlank="true" errorStyle="stop" operator="between" showDropDown="false" showErrorMessage="false" showInputMessage="false" sqref="J6:J26" type="list">
      <formula1>"В работе,Устранено,В ожидании доступа"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2026-09-17T09:35:53Z</dcterms:created>
  <dc:creator>openpyxl</dc:creator>
  <dc:description/>
  <dc:language>en-US</dc:language>
  <cp:lastModifiedBy/>
  <dcterms:modified xsi:type="dcterms:W3CDTF">2026-09-17T09:35:53Z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